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 de Produção" sheetId="1" state="visible" r:id="rId1"/>
    <sheet xmlns:r="http://schemas.openxmlformats.org/officeDocument/2006/relationships" name="Formação de Preço" sheetId="2" state="visible" r:id="rId2"/>
    <sheet xmlns:r="http://schemas.openxmlformats.org/officeDocument/2006/relationships" name="Simulador" sheetId="3" state="visible" r:id="rId3"/>
    <sheet xmlns:r="http://schemas.openxmlformats.org/officeDocument/2006/relationships" name="Concorrentes" sheetId="4" state="visible" r:id="rId4"/>
    <sheet xmlns:r="http://schemas.openxmlformats.org/officeDocument/2006/relationships" name="Referência Mar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3D2B1F"/>
      <sz val="16"/>
    </font>
    <font>
      <name val="Calibri"/>
      <b val="1"/>
      <color rgb="003D2B1F"/>
      <sz val="10"/>
    </font>
    <font>
      <name val="Calibri"/>
      <b val="1"/>
      <color rgb="009A4528"/>
      <sz val="10"/>
    </font>
    <font>
      <name val="Calibri"/>
      <b val="1"/>
      <color rgb="00FFFFFF"/>
      <sz val="10"/>
    </font>
    <font>
      <name val="Calibri"/>
      <b val="1"/>
      <color rgb="00B5563A"/>
      <sz val="11"/>
    </font>
    <font>
      <name val="Calibri"/>
      <color rgb="003D2B1F"/>
      <sz val="10"/>
    </font>
    <font>
      <name val="Calibri"/>
      <i val="1"/>
      <color rgb="00B5563A"/>
      <sz val="10"/>
    </font>
    <font>
      <name val="Calibri"/>
      <b val="1"/>
      <color rgb="003D2B1F"/>
      <sz val="11"/>
    </font>
    <font>
      <name val="Calibri"/>
      <b val="1"/>
      <color rgb="00B5563A"/>
      <sz val="14"/>
    </font>
    <font>
      <name val="Calibri"/>
      <b val="1"/>
      <color rgb="003D2B1F"/>
      <sz val="13"/>
    </font>
    <font>
      <name val="Calibri"/>
      <i val="1"/>
      <color rgb="006B5744"/>
      <sz val="9"/>
    </font>
    <font>
      <name val="Calibri"/>
      <b val="1"/>
      <color rgb="005A7A42"/>
      <sz val="10"/>
    </font>
    <font>
      <name val="Calibri"/>
      <color rgb="005A7A42"/>
      <sz val="10"/>
    </font>
    <font>
      <name val="Calibri"/>
      <b val="1"/>
      <color rgb="00B5563A"/>
      <sz val="10"/>
    </font>
  </fonts>
  <fills count="8">
    <fill>
      <patternFill/>
    </fill>
    <fill>
      <patternFill patternType="gray125"/>
    </fill>
    <fill>
      <patternFill patternType="solid">
        <fgColor rgb="00FFF9F0"/>
        <bgColor rgb="00FFF9F0"/>
      </patternFill>
    </fill>
    <fill>
      <patternFill patternType="solid">
        <fgColor rgb="00FDE8E0"/>
        <bgColor rgb="00FDE8E0"/>
      </patternFill>
    </fill>
    <fill>
      <patternFill patternType="solid">
        <fgColor rgb="00B5563A"/>
        <bgColor rgb="00B5563A"/>
      </patternFill>
    </fill>
    <fill>
      <patternFill patternType="solid">
        <fgColor rgb="00F5EDE0"/>
        <bgColor rgb="00F5EDE0"/>
      </patternFill>
    </fill>
    <fill>
      <patternFill patternType="solid">
        <fgColor rgb="00EDE5D5"/>
        <bgColor rgb="00EDE5D5"/>
      </patternFill>
    </fill>
    <fill>
      <patternFill patternType="solid">
        <fgColor rgb="00E8F0E0"/>
        <bgColor rgb="00E8F0E0"/>
      </patternFill>
    </fill>
  </fills>
  <borders count="3">
    <border>
      <left/>
      <right/>
      <top/>
      <bottom/>
      <diagonal/>
    </border>
    <border>
      <left style="thin">
        <color rgb="00F5EDE0"/>
      </left>
      <right style="thin">
        <color rgb="00F5EDE0"/>
      </right>
      <top style="thin">
        <color rgb="00F5EDE0"/>
      </top>
      <bottom style="thin">
        <color rgb="00F5EDE0"/>
      </bottom>
    </border>
    <border>
      <top style="medium">
        <color rgb="00B5563A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0" pivotButton="0" quotePrefix="0" xfId="0"/>
    <xf numFmtId="0" fontId="6" fillId="5" borderId="0" pivotButton="0" quotePrefix="0" xfId="0"/>
    <xf numFmtId="4" fontId="3" fillId="3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0" fillId="6" borderId="2" pivotButton="0" quotePrefix="0" xfId="0"/>
    <xf numFmtId="0" fontId="8" fillId="6" borderId="2" applyAlignment="1" pivotButton="0" quotePrefix="0" xfId="0">
      <alignment horizontal="right"/>
    </xf>
    <xf numFmtId="4" fontId="9" fillId="6" borderId="2" pivotButton="0" quotePrefix="0" xfId="0"/>
    <xf numFmtId="4" fontId="9" fillId="0" borderId="0" pivotButton="0" quotePrefix="0" xfId="0"/>
    <xf numFmtId="0" fontId="10" fillId="5" borderId="0" pivotButton="0" quotePrefix="0" xfId="0"/>
    <xf numFmtId="0" fontId="0" fillId="5" borderId="0" pivotButton="0" quotePrefix="0" xfId="0"/>
    <xf numFmtId="164" fontId="3" fillId="3" borderId="1" applyAlignment="1" pivotButton="0" quotePrefix="0" xfId="0">
      <alignment horizontal="right"/>
    </xf>
    <xf numFmtId="0" fontId="11" fillId="0" borderId="0" pivotButton="0" quotePrefix="0" xfId="0"/>
    <xf numFmtId="165" fontId="12" fillId="0" borderId="0" pivotButton="0" quotePrefix="0" xfId="0"/>
    <xf numFmtId="1" fontId="3" fillId="3" borderId="1" applyAlignment="1" pivotButton="0" quotePrefix="0" xfId="0">
      <alignment horizontal="right"/>
    </xf>
    <xf numFmtId="0" fontId="10" fillId="6" borderId="0" pivotButton="0" quotePrefix="0" xfId="0"/>
    <xf numFmtId="0" fontId="0" fillId="6" borderId="0" pivotButton="0" quotePrefix="0" xfId="0"/>
    <xf numFmtId="0" fontId="2" fillId="0" borderId="1" pivotButton="0" quotePrefix="0" xfId="0"/>
    <xf numFmtId="4" fontId="3" fillId="0" borderId="1" pivotButton="0" quotePrefix="0" xfId="0"/>
    <xf numFmtId="165" fontId="13" fillId="0" borderId="1" pivotButton="0" quotePrefix="0" xfId="0"/>
    <xf numFmtId="4" fontId="3" fillId="0" borderId="0" pivotButton="0" quotePrefix="0" xfId="0"/>
    <xf numFmtId="4" fontId="12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4" fontId="0" fillId="3" borderId="1" pivotButton="0" quotePrefix="0" xfId="0"/>
    <xf numFmtId="0" fontId="14" fillId="7" borderId="2" pivotButton="0" quotePrefix="0" xfId="0"/>
    <xf numFmtId="0" fontId="3" fillId="7" borderId="2" pivotButton="0" quotePrefix="0" xfId="0"/>
    <xf numFmtId="1" fontId="0" fillId="7" borderId="2" pivotButton="0" quotePrefix="0" xfId="0"/>
    <xf numFmtId="4" fontId="9" fillId="7" borderId="2" pivotButton="0" quotePrefix="0" xfId="0"/>
    <xf numFmtId="4" fontId="7" fillId="7" borderId="2" applyAlignment="1" pivotButton="0" quotePrefix="0" xfId="0">
      <alignment horizontal="right"/>
    </xf>
    <xf numFmtId="0" fontId="12" fillId="7" borderId="2" pivotButton="0" quotePrefix="0" xfId="0"/>
    <xf numFmtId="0" fontId="0" fillId="7" borderId="2" pivotButton="0" quotePrefix="0" xfId="0"/>
    <xf numFmtId="0" fontId="2" fillId="5" borderId="1" pivotButton="0" quotePrefix="0" xfId="0"/>
    <xf numFmtId="164" fontId="6" fillId="5" borderId="1" pivotButton="0" quotePrefix="0" xfId="0"/>
    <xf numFmtId="164" fontId="14" fillId="5" borderId="1" pivotButton="0" quotePrefix="0" xfId="0"/>
    <xf numFmtId="164" fontId="12" fillId="5" borderId="1" pivotButton="0" quotePrefix="0" xfId="0"/>
    <xf numFmtId="0" fontId="11" fillId="5" borderId="1" pivotButton="0" quotePrefix="0" xfId="0"/>
    <xf numFmtId="164" fontId="6" fillId="0" borderId="1" pivotButton="0" quotePrefix="0" xfId="0"/>
    <xf numFmtId="164" fontId="14" fillId="0" borderId="1" pivotButton="0" quotePrefix="0" xfId="0"/>
    <xf numFmtId="164" fontId="12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5563A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</cols>
  <sheetData>
    <row r="1">
      <c r="A1" s="1" t="inlineStr">
        <is>
          <t>CUSTO DE PRODUÇÃO POR PRODUTO</t>
        </is>
      </c>
    </row>
    <row r="3">
      <c r="A3" s="2" t="inlineStr">
        <is>
          <t>Produto:</t>
        </is>
      </c>
      <c r="B3" s="3" t="inlineStr"/>
    </row>
    <row r="4">
      <c r="A4" s="2" t="inlineStr">
        <is>
          <t>Unidades por lote:</t>
        </is>
      </c>
      <c r="B4" s="3" t="n">
        <v>30</v>
      </c>
    </row>
    <row r="6">
      <c r="A6" s="4" t="inlineStr">
        <is>
          <t>Categoria</t>
        </is>
      </c>
      <c r="B6" s="4" t="inlineStr">
        <is>
          <t>Item</t>
        </is>
      </c>
      <c r="C6" s="4" t="inlineStr">
        <is>
          <t>Custo do Lote (R$)</t>
        </is>
      </c>
      <c r="D6" s="4" t="inlineStr">
        <is>
          <t>Custo/Unidade</t>
        </is>
      </c>
    </row>
    <row r="7">
      <c r="A7" s="5" t="inlineStr">
        <is>
          <t>Matéria-prima</t>
        </is>
      </c>
      <c r="B7" s="6" t="inlineStr">
        <is>
          <t>Ingrediente principal</t>
        </is>
      </c>
      <c r="C7" s="7" t="n">
        <v>0</v>
      </c>
      <c r="D7" s="8">
        <f>IF($B$4&gt;0,C7/$B$4,0)</f>
        <v/>
      </c>
    </row>
    <row r="8">
      <c r="A8" s="9" t="inlineStr">
        <is>
          <t>Matéria-prima</t>
        </is>
      </c>
      <c r="B8" s="10" t="inlineStr">
        <is>
          <t>Ingrediente 2</t>
        </is>
      </c>
      <c r="C8" s="7" t="n">
        <v>0</v>
      </c>
      <c r="D8" s="8">
        <f>IF($B$4&gt;0,C8/$B$4,0)</f>
        <v/>
      </c>
    </row>
    <row r="9">
      <c r="A9" s="5" t="inlineStr">
        <is>
          <t>Matéria-prima</t>
        </is>
      </c>
      <c r="B9" s="6" t="inlineStr">
        <is>
          <t>Ingrediente 3</t>
        </is>
      </c>
      <c r="C9" s="7" t="n">
        <v>0</v>
      </c>
      <c r="D9" s="8">
        <f>IF($B$4&gt;0,C9/$B$4,0)</f>
        <v/>
      </c>
    </row>
    <row r="10">
      <c r="A10" s="9" t="inlineStr">
        <is>
          <t>Matéria-prima</t>
        </is>
      </c>
      <c r="B10" s="10" t="inlineStr">
        <is>
          <t>Ingrediente 4</t>
        </is>
      </c>
      <c r="C10" s="7" t="n">
        <v>0</v>
      </c>
      <c r="D10" s="8">
        <f>IF($B$4&gt;0,C10/$B$4,0)</f>
        <v/>
      </c>
    </row>
    <row r="11">
      <c r="A11" s="5" t="inlineStr">
        <is>
          <t>Matéria-prima</t>
        </is>
      </c>
      <c r="B11" s="6" t="inlineStr">
        <is>
          <t>Ingrediente 5</t>
        </is>
      </c>
      <c r="C11" s="7" t="n">
        <v>0</v>
      </c>
      <c r="D11" s="8">
        <f>IF($B$4&gt;0,C11/$B$4,0)</f>
        <v/>
      </c>
    </row>
    <row r="12">
      <c r="A12" s="9" t="inlineStr">
        <is>
          <t>Embalagem</t>
        </is>
      </c>
      <c r="B12" s="10" t="inlineStr">
        <is>
          <t>Pote / vidro / frasco</t>
        </is>
      </c>
      <c r="C12" s="7" t="n">
        <v>0</v>
      </c>
      <c r="D12" s="8">
        <f>IF($B$4&gt;0,C12/$B$4,0)</f>
        <v/>
      </c>
    </row>
    <row r="13">
      <c r="A13" s="5" t="inlineStr">
        <is>
          <t>Embalagem</t>
        </is>
      </c>
      <c r="B13" s="6" t="inlineStr">
        <is>
          <t>Rótulo / etiqueta</t>
        </is>
      </c>
      <c r="C13" s="7" t="n">
        <v>0</v>
      </c>
      <c r="D13" s="8">
        <f>IF($B$4&gt;0,C13/$B$4,0)</f>
        <v/>
      </c>
    </row>
    <row r="14">
      <c r="A14" s="9" t="inlineStr">
        <is>
          <t>Embalagem</t>
        </is>
      </c>
      <c r="B14" s="10" t="inlineStr">
        <is>
          <t>Tampa / lacre</t>
        </is>
      </c>
      <c r="C14" s="7" t="n">
        <v>0</v>
      </c>
      <c r="D14" s="8">
        <f>IF($B$4&gt;0,C14/$B$4,0)</f>
        <v/>
      </c>
    </row>
    <row r="15">
      <c r="A15" s="5" t="inlineStr">
        <is>
          <t>Embalagem</t>
        </is>
      </c>
      <c r="B15" s="6" t="inlineStr">
        <is>
          <t>Caixa / embalagem externa</t>
        </is>
      </c>
      <c r="C15" s="7" t="n">
        <v>0</v>
      </c>
      <c r="D15" s="8">
        <f>IF($B$4&gt;0,C15/$B$4,0)</f>
        <v/>
      </c>
    </row>
    <row r="16">
      <c r="A16" s="9" t="inlineStr">
        <is>
          <t>Energia</t>
        </is>
      </c>
      <c r="B16" s="10" t="inlineStr">
        <is>
          <t>Gás (proporcional ao lote)</t>
        </is>
      </c>
      <c r="C16" s="7" t="n">
        <v>0</v>
      </c>
      <c r="D16" s="8">
        <f>IF($B$4&gt;0,C16/$B$4,0)</f>
        <v/>
      </c>
    </row>
    <row r="17">
      <c r="A17" s="5" t="inlineStr">
        <is>
          <t>Energia</t>
        </is>
      </c>
      <c r="B17" s="6" t="inlineStr">
        <is>
          <t>Energia elétrica</t>
        </is>
      </c>
      <c r="C17" s="7" t="n">
        <v>0</v>
      </c>
      <c r="D17" s="8">
        <f>IF($B$4&gt;0,C17/$B$4,0)</f>
        <v/>
      </c>
    </row>
    <row r="18">
      <c r="A18" s="9" t="inlineStr">
        <is>
          <t>Mão de obra</t>
        </is>
      </c>
      <c r="B18" s="10" t="inlineStr">
        <is>
          <t>Horas × valor/hora</t>
        </is>
      </c>
      <c r="C18" s="7" t="n">
        <v>0</v>
      </c>
      <c r="D18" s="8">
        <f>IF($B$4&gt;0,C18/$B$4,0)</f>
        <v/>
      </c>
    </row>
    <row r="19">
      <c r="A19" s="5" t="inlineStr">
        <is>
          <t>Outros</t>
        </is>
      </c>
      <c r="B19" s="6" t="inlineStr">
        <is>
          <t>Transporte / frete</t>
        </is>
      </c>
      <c r="C19" s="7" t="n">
        <v>0</v>
      </c>
      <c r="D19" s="8">
        <f>IF($B$4&gt;0,C19/$B$4,0)</f>
        <v/>
      </c>
    </row>
    <row r="20">
      <c r="A20" s="9" t="inlineStr">
        <is>
          <t>Outros</t>
        </is>
      </c>
      <c r="B20" s="10" t="inlineStr">
        <is>
          <t>Perdas estimadas (5-10%)</t>
        </is>
      </c>
      <c r="C20" s="7" t="n">
        <v>0</v>
      </c>
      <c r="D20" s="8">
        <f>IF($B$4&gt;0,C20/$B$4,0)</f>
        <v/>
      </c>
    </row>
    <row r="21">
      <c r="A21" s="11" t="n"/>
      <c r="B21" s="12" t="inlineStr">
        <is>
          <t>TOTAL</t>
        </is>
      </c>
      <c r="C21" s="13">
        <f>SUM(C7:C20)</f>
        <v/>
      </c>
      <c r="D21" s="13">
        <f>IF($B$4&gt;0,C21/$B$4,0)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5563A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FORMAÇÃO DE PREÇO — 3 MÉTODOS</t>
        </is>
      </c>
    </row>
    <row r="3">
      <c r="A3" s="2" t="inlineStr">
        <is>
          <t>Custo por Unidade (CPU):</t>
        </is>
      </c>
      <c r="B3" s="14">
        <f>'Custo de Produção'!D21</f>
        <v/>
      </c>
    </row>
    <row r="5">
      <c r="A5" s="15" t="inlineStr">
        <is>
          <t>MÉTODO 1: MARKUP</t>
        </is>
      </c>
      <c r="B5" s="16" t="n"/>
      <c r="C5" s="16" t="n"/>
      <c r="D5" s="16" t="n"/>
    </row>
    <row r="6">
      <c r="A6" s="10" t="inlineStr">
        <is>
          <t>Multiplicador (2.0 a 4.0):</t>
        </is>
      </c>
      <c r="B6" s="17" t="n">
        <v>2.5</v>
      </c>
    </row>
    <row r="7">
      <c r="A7" s="2" t="inlineStr">
        <is>
          <t>Preço pelo Markup:</t>
        </is>
      </c>
      <c r="B7" s="14">
        <f>B3*B6</f>
        <v/>
      </c>
      <c r="C7" s="18" t="inlineStr">
        <is>
          <t>Margem:</t>
        </is>
      </c>
      <c r="D7" s="19">
        <f>IF(B7&gt;0,(B7-B3)/B7,0)</f>
        <v/>
      </c>
    </row>
    <row r="9">
      <c r="A9" s="15" t="inlineStr">
        <is>
          <t>MÉTODO 2: MARGEM DE LUCRO</t>
        </is>
      </c>
      <c r="B9" s="16" t="n"/>
      <c r="C9" s="16" t="n"/>
      <c r="D9" s="16" t="n"/>
    </row>
    <row r="10">
      <c r="A10" s="10" t="inlineStr">
        <is>
          <t>Margem desejada (%):</t>
        </is>
      </c>
      <c r="B10" s="20" t="n">
        <v>60</v>
      </c>
    </row>
    <row r="11">
      <c r="A11" s="2" t="inlineStr">
        <is>
          <t>Preço pela Margem:</t>
        </is>
      </c>
      <c r="B11" s="14">
        <f>IF(B10&lt;100,B3/(1-B10/100),0)</f>
        <v/>
      </c>
      <c r="C11" s="18" t="inlineStr">
        <is>
          <t>Margem:</t>
        </is>
      </c>
      <c r="D11" s="19">
        <f>B10/100</f>
        <v/>
      </c>
    </row>
    <row r="13">
      <c r="A13" s="15" t="inlineStr">
        <is>
          <t>MÉTODO 3: BASEADO EM VALOR (recomendado)</t>
        </is>
      </c>
      <c r="B13" s="16" t="n"/>
      <c r="C13" s="16" t="n"/>
      <c r="D13" s="16" t="n"/>
    </row>
    <row r="14">
      <c r="A14" s="10" t="inlineStr">
        <is>
          <t>Preço que o mercado paga:</t>
        </is>
      </c>
      <c r="B14" s="7" t="n">
        <v>0</v>
      </c>
    </row>
    <row r="15">
      <c r="A15" s="2" t="inlineStr">
        <is>
          <t>Preço baseado em valor:</t>
        </is>
      </c>
      <c r="B15" s="14">
        <f>B14</f>
        <v/>
      </c>
      <c r="C15" s="18" t="inlineStr">
        <is>
          <t>Margem:</t>
        </is>
      </c>
      <c r="D15" s="19">
        <f>IF(B15&gt;0,(B15-B3)/B15,0)</f>
        <v/>
      </c>
    </row>
    <row r="17">
      <c r="A17" s="21" t="inlineStr">
        <is>
          <t>COMPARAÇÃO</t>
        </is>
      </c>
      <c r="B17" s="22" t="n"/>
      <c r="C17" s="22" t="n"/>
      <c r="D17" s="22" t="n"/>
    </row>
    <row r="18">
      <c r="A18" s="4" t="inlineStr">
        <is>
          <t>Método</t>
        </is>
      </c>
      <c r="B18" s="4" t="inlineStr">
        <is>
          <t>Preço</t>
        </is>
      </c>
      <c r="C18" s="4" t="inlineStr">
        <is>
          <t>Margem Bruta</t>
        </is>
      </c>
      <c r="D18" s="4" t="inlineStr">
        <is>
          <t>Lucro/Unidade</t>
        </is>
      </c>
    </row>
    <row r="19">
      <c r="A19" s="23" t="inlineStr">
        <is>
          <t>Markup</t>
        </is>
      </c>
      <c r="B19" s="24">
        <f>B7</f>
        <v/>
      </c>
      <c r="C19" s="25">
        <f>D7</f>
        <v/>
      </c>
      <c r="D19" s="24">
        <f>B7-B3</f>
        <v/>
      </c>
    </row>
    <row r="20">
      <c r="A20" s="23" t="inlineStr">
        <is>
          <t>Margem</t>
        </is>
      </c>
      <c r="B20" s="24">
        <f>B11</f>
        <v/>
      </c>
      <c r="C20" s="25">
        <f>D11</f>
        <v/>
      </c>
      <c r="D20" s="24">
        <f>B11-B3</f>
        <v/>
      </c>
    </row>
    <row r="21">
      <c r="A21" s="23" t="inlineStr">
        <is>
          <t>Valor</t>
        </is>
      </c>
      <c r="B21" s="24">
        <f>B15</f>
        <v/>
      </c>
      <c r="C21" s="25">
        <f>D15</f>
        <v/>
      </c>
      <c r="D21" s="24">
        <f>B15-B3</f>
        <v/>
      </c>
    </row>
    <row r="23">
      <c r="A23" s="18" t="inlineStr">
        <is>
          <t>Use o MAIOR valor entre os 3. Se o preço por valor é o maior, o mercado sustenta.</t>
        </is>
      </c>
    </row>
  </sheetData>
  <mergeCells count="6">
    <mergeCell ref="A1:D1"/>
    <mergeCell ref="A17:D17"/>
    <mergeCell ref="A9:D9"/>
    <mergeCell ref="A5:D5"/>
    <mergeCell ref="A23:D23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7A4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SIMULADOR DE FATURAMENTO MENSAL</t>
        </is>
      </c>
    </row>
    <row r="3">
      <c r="A3" s="10" t="inlineStr">
        <is>
          <t>Preço unitário usado:</t>
        </is>
      </c>
      <c r="B3" s="14">
        <f>MAX('Formação de Preço'!B7,'Formação de Preço'!B11,'Formação de Preço'!B15)</f>
        <v/>
      </c>
    </row>
    <row r="4">
      <c r="A4" s="10" t="inlineStr">
        <is>
          <t>Custo unitário:</t>
        </is>
      </c>
      <c r="B4" s="26">
        <f>'Formação de Preço'!B3</f>
        <v/>
      </c>
    </row>
    <row r="6">
      <c r="A6" s="4" t="inlineStr">
        <is>
          <t>Cenário</t>
        </is>
      </c>
      <c r="B6" s="4" t="inlineStr">
        <is>
          <t>Unid/Mês</t>
        </is>
      </c>
      <c r="C6" s="4" t="inlineStr">
        <is>
          <t>Preço Unit.</t>
        </is>
      </c>
      <c r="D6" s="4" t="inlineStr">
        <is>
          <t>Faturamento</t>
        </is>
      </c>
      <c r="E6" s="4" t="inlineStr">
        <is>
          <t>Custo Total</t>
        </is>
      </c>
      <c r="F6" s="4" t="inlineStr">
        <is>
          <t>Lucro Bruto</t>
        </is>
      </c>
      <c r="G6" s="4" t="inlineStr">
        <is>
          <t>Margem %</t>
        </is>
      </c>
    </row>
    <row r="7">
      <c r="A7" s="23" t="inlineStr">
        <is>
          <t>Conservador</t>
        </is>
      </c>
      <c r="B7" s="20" t="n">
        <v>0</v>
      </c>
      <c r="C7" s="8">
        <f>$B$3</f>
        <v/>
      </c>
      <c r="D7" s="8">
        <f>B7*C7</f>
        <v/>
      </c>
      <c r="E7" s="8">
        <f>B7*$B$4</f>
        <v/>
      </c>
      <c r="F7" s="27">
        <f>D7-E7</f>
        <v/>
      </c>
      <c r="G7" s="8">
        <f>IF(D7&gt;0,F7/D7,0)</f>
        <v/>
      </c>
    </row>
    <row r="8">
      <c r="A8" s="23" t="inlineStr">
        <is>
          <t>Realista</t>
        </is>
      </c>
      <c r="B8" s="20" t="n">
        <v>0</v>
      </c>
      <c r="C8" s="8">
        <f>$B$3</f>
        <v/>
      </c>
      <c r="D8" s="8">
        <f>B8*C8</f>
        <v/>
      </c>
      <c r="E8" s="8">
        <f>B8*$B$4</f>
        <v/>
      </c>
      <c r="F8" s="27">
        <f>D8-E8</f>
        <v/>
      </c>
      <c r="G8" s="8">
        <f>IF(D8&gt;0,F8/D8,0)</f>
        <v/>
      </c>
    </row>
    <row r="9">
      <c r="A9" s="23" t="inlineStr">
        <is>
          <t>Otimista</t>
        </is>
      </c>
      <c r="B9" s="20" t="n">
        <v>0</v>
      </c>
      <c r="C9" s="8">
        <f>$B$3</f>
        <v/>
      </c>
      <c r="D9" s="8">
        <f>B9*C9</f>
        <v/>
      </c>
      <c r="E9" s="8">
        <f>B9*$B$4</f>
        <v/>
      </c>
      <c r="F9" s="27">
        <f>D9-E9</f>
        <v/>
      </c>
      <c r="G9" s="8">
        <f>IF(D9&gt;0,F9/D9,0)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744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22" customWidth="1" min="6" max="6"/>
    <col width="18" customWidth="1" min="7" max="7"/>
  </cols>
  <sheetData>
    <row r="1">
      <c r="A1" s="1" t="inlineStr">
        <is>
          <t>COMPARATIVO DE CONCORRENTES</t>
        </is>
      </c>
    </row>
    <row r="3">
      <c r="A3" s="4" t="inlineStr">
        <is>
          <t>Concorrente</t>
        </is>
      </c>
      <c r="B3" s="4" t="inlineStr">
        <is>
          <t>Produto</t>
        </is>
      </c>
      <c r="C3" s="4" t="inlineStr">
        <is>
          <t>Peso (g)</t>
        </is>
      </c>
      <c r="D3" s="4" t="inlineStr">
        <is>
          <t>Preço (R$)</t>
        </is>
      </c>
      <c r="E3" s="4" t="inlineStr">
        <is>
          <t>R$/100g</t>
        </is>
      </c>
      <c r="F3" s="4" t="inlineStr">
        <is>
          <t>Diferencial</t>
        </is>
      </c>
      <c r="G3" s="4" t="inlineStr">
        <is>
          <t>Canal</t>
        </is>
      </c>
    </row>
    <row r="4">
      <c r="A4" s="28" t="n"/>
      <c r="B4" s="28" t="n"/>
      <c r="C4" s="29" t="n"/>
      <c r="D4" s="30" t="n"/>
      <c r="E4" s="8">
        <f>IF(C4&gt;0,D4/(C4/100),0)</f>
        <v/>
      </c>
      <c r="F4" s="28" t="n"/>
      <c r="G4" s="28" t="n"/>
    </row>
    <row r="5">
      <c r="A5" s="28" t="n"/>
      <c r="B5" s="28" t="n"/>
      <c r="C5" s="29" t="n"/>
      <c r="D5" s="30" t="n"/>
      <c r="E5" s="8">
        <f>IF(C5&gt;0,D5/(C5/100),0)</f>
        <v/>
      </c>
      <c r="F5" s="28" t="n"/>
      <c r="G5" s="28" t="n"/>
    </row>
    <row r="6">
      <c r="A6" s="28" t="n"/>
      <c r="B6" s="28" t="n"/>
      <c r="C6" s="29" t="n"/>
      <c r="D6" s="30" t="n"/>
      <c r="E6" s="8">
        <f>IF(C6&gt;0,D6/(C6/100),0)</f>
        <v/>
      </c>
      <c r="F6" s="28" t="n"/>
      <c r="G6" s="28" t="n"/>
    </row>
    <row r="7">
      <c r="A7" s="28" t="n"/>
      <c r="B7" s="28" t="n"/>
      <c r="C7" s="29" t="n"/>
      <c r="D7" s="30" t="n"/>
      <c r="E7" s="8">
        <f>IF(C7&gt;0,D7/(C7/100),0)</f>
        <v/>
      </c>
      <c r="F7" s="28" t="n"/>
      <c r="G7" s="28" t="n"/>
    </row>
    <row r="8">
      <c r="A8" s="28" t="n"/>
      <c r="B8" s="28" t="n"/>
      <c r="C8" s="29" t="n"/>
      <c r="D8" s="30" t="n"/>
      <c r="E8" s="8">
        <f>IF(C8&gt;0,D8/(C8/100),0)</f>
        <v/>
      </c>
      <c r="F8" s="28" t="n"/>
      <c r="G8" s="28" t="n"/>
    </row>
    <row r="9">
      <c r="A9" s="31" t="inlineStr">
        <is>
          <t>SEU PRODUTO</t>
        </is>
      </c>
      <c r="B9" s="32">
        <f>'Custo de Produção'!B3</f>
        <v/>
      </c>
      <c r="C9" s="33" t="n"/>
      <c r="D9" s="34">
        <f>MAX('Formação de Preço'!B7,'Formação de Preço'!B11,'Formação de Preço'!B15)</f>
        <v/>
      </c>
      <c r="E9" s="35">
        <f>IF(C9&gt;0,D9/(C9/100),0)</f>
        <v/>
      </c>
      <c r="F9" s="36" t="inlineStr">
        <is>
          <t>Artesanal</t>
        </is>
      </c>
      <c r="G9" s="37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5744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36" customWidth="1" min="5" max="5"/>
  </cols>
  <sheetData>
    <row r="1">
      <c r="A1" s="1" t="inlineStr">
        <is>
          <t>REFERÊNCIA DE MARKUP POR CATEGORIA</t>
        </is>
      </c>
    </row>
    <row r="3">
      <c r="A3" s="4" t="inlineStr">
        <is>
          <t>Categoria</t>
        </is>
      </c>
      <c r="B3" s="4" t="inlineStr">
        <is>
          <t>Mínimo</t>
        </is>
      </c>
      <c r="C3" s="4" t="inlineStr">
        <is>
          <t>Recomendado</t>
        </is>
      </c>
      <c r="D3" s="4" t="inlineStr">
        <is>
          <t>Premium</t>
        </is>
      </c>
      <c r="E3" s="4" t="inlineStr">
        <is>
          <t>Observação</t>
        </is>
      </c>
    </row>
    <row r="4">
      <c r="A4" s="38" t="inlineStr">
        <is>
          <t>Geleias e Doces</t>
        </is>
      </c>
      <c r="B4" s="39" t="n">
        <v>2</v>
      </c>
      <c r="C4" s="40" t="n">
        <v>2.5</v>
      </c>
      <c r="D4" s="41" t="n">
        <v>3.5</v>
      </c>
      <c r="E4" s="42" t="inlineStr">
        <is>
          <t>Ingredientes raros ou orgânicos: premium</t>
        </is>
      </c>
    </row>
    <row r="5">
      <c r="A5" s="23" t="inlineStr">
        <is>
          <t>Queijos Artesanais</t>
        </is>
      </c>
      <c r="B5" s="43" t="n">
        <v>2</v>
      </c>
      <c r="C5" s="44" t="n">
        <v>3</v>
      </c>
      <c r="D5" s="45" t="n">
        <v>4</v>
      </c>
      <c r="E5" s="46" t="inlineStr">
        <is>
          <t>Maturados e com IG: markup maior</t>
        </is>
      </c>
    </row>
    <row r="6">
      <c r="A6" s="38" t="inlineStr">
        <is>
          <t>Molhos e Temperos</t>
        </is>
      </c>
      <c r="B6" s="39" t="n">
        <v>2.5</v>
      </c>
      <c r="C6" s="40" t="n">
        <v>3</v>
      </c>
      <c r="D6" s="41" t="n">
        <v>4</v>
      </c>
      <c r="E6" s="42" t="inlineStr">
        <is>
          <t>Pimentas especiais: markup alto</t>
        </is>
      </c>
    </row>
    <row r="7">
      <c r="A7" s="23" t="inlineStr">
        <is>
          <t>Conservas</t>
        </is>
      </c>
      <c r="B7" s="43" t="n">
        <v>2</v>
      </c>
      <c r="C7" s="44" t="n">
        <v>2.5</v>
      </c>
      <c r="D7" s="45" t="n">
        <v>3</v>
      </c>
      <c r="E7" s="46" t="inlineStr">
        <is>
          <t>Em azeite premium: markup maior</t>
        </is>
      </c>
    </row>
    <row r="8">
      <c r="A8" s="38" t="inlineStr">
        <is>
          <t>Pães e Fermentados</t>
        </is>
      </c>
      <c r="B8" s="39" t="n">
        <v>1.8</v>
      </c>
      <c r="C8" s="40" t="n">
        <v>2.5</v>
      </c>
      <c r="D8" s="41" t="n">
        <v>3</v>
      </c>
      <c r="E8" s="42" t="inlineStr">
        <is>
          <t>Massa madre / longa fermentação</t>
        </is>
      </c>
    </row>
    <row r="9">
      <c r="A9" s="23" t="inlineStr">
        <is>
          <t>Mel e Derivados</t>
        </is>
      </c>
      <c r="B9" s="43" t="n">
        <v>2</v>
      </c>
      <c r="C9" s="44" t="n">
        <v>2.5</v>
      </c>
      <c r="D9" s="45" t="n">
        <v>3.5</v>
      </c>
      <c r="E9" s="46" t="inlineStr">
        <is>
          <t>Mel com IG ou orgânico: premium</t>
        </is>
      </c>
    </row>
    <row r="10">
      <c r="A10" s="38" t="inlineStr">
        <is>
          <t>Embutidos</t>
        </is>
      </c>
      <c r="B10" s="39" t="n">
        <v>2</v>
      </c>
      <c r="C10" s="40" t="n">
        <v>2.5</v>
      </c>
      <c r="D10" s="41" t="n">
        <v>3.5</v>
      </c>
      <c r="E10" s="42" t="inlineStr">
        <is>
          <t>Curados e defumados: markup maior</t>
        </is>
      </c>
    </row>
    <row r="11">
      <c r="A11" s="23" t="inlineStr">
        <is>
          <t>Cafés Gourmet</t>
        </is>
      </c>
      <c r="B11" s="43" t="n">
        <v>2.5</v>
      </c>
      <c r="C11" s="44" t="n">
        <v>3</v>
      </c>
      <c r="D11" s="45" t="n">
        <v>4.5</v>
      </c>
      <c r="E11" s="46" t="inlineStr">
        <is>
          <t>Microlotes e torras especiais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2026-04-08T13:50:51Z</dcterms:created>
  <dcterms:modified xmlns:dcterms="http://purl.org/dc/terms/" xmlns:xsi="http://www.w3.org/2001/XMLSchema-instance" xsi:type="dcterms:W3CDTF">2026-04-08T13:50:51Z</dcterms:modified>
</cp:coreProperties>
</file>