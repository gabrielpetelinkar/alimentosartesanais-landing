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filterPrivacy="1"/>
  <xr:revisionPtr revIDLastSave="0" documentId="13_ncr:1_{00A98129-0928-8A43-BCD7-B8994CF61F8D}" xr6:coauthVersionLast="47" xr6:coauthVersionMax="47" xr10:uidLastSave="{00000000-0000-0000-0000-000000000000}"/>
  <bookViews>
    <workbookView xWindow="0" yWindow="600" windowWidth="28800" windowHeight="15740" activeTab="4" xr2:uid="{00000000-000D-0000-FFFF-FFFF00000000}"/>
  </bookViews>
  <sheets>
    <sheet name="Custo de Produção" sheetId="1" r:id="rId1"/>
    <sheet name="Formação de Preço" sheetId="2" r:id="rId2"/>
    <sheet name="Simulador de Faturamento" sheetId="3" r:id="rId3"/>
    <sheet name="Comparativo" sheetId="4" r:id="rId4"/>
    <sheet name="Referências de Marku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8" i="4"/>
  <c r="E7" i="4"/>
  <c r="E6" i="4"/>
  <c r="E5" i="4"/>
  <c r="E4" i="4"/>
  <c r="E9" i="3"/>
  <c r="C9" i="3"/>
  <c r="D9" i="3" s="1"/>
  <c r="E8" i="3"/>
  <c r="C8" i="3"/>
  <c r="D8" i="3" s="1"/>
  <c r="E7" i="3"/>
  <c r="D7" i="3"/>
  <c r="G7" i="3" s="1"/>
  <c r="C7" i="3"/>
  <c r="D22" i="2"/>
  <c r="C22" i="2"/>
  <c r="B22" i="2"/>
  <c r="D21" i="2"/>
  <c r="C21" i="2"/>
  <c r="B21" i="2"/>
  <c r="D20" i="2"/>
  <c r="C20" i="2"/>
  <c r="B11" i="2"/>
  <c r="B7" i="2"/>
  <c r="B20" i="2" s="1"/>
  <c r="D23" i="1"/>
  <c r="D22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G9" i="3" l="1"/>
  <c r="F9" i="3"/>
  <c r="G8" i="3"/>
  <c r="F8" i="3"/>
  <c r="F7" i="3"/>
</calcChain>
</file>

<file path=xl/sharedStrings.xml><?xml version="1.0" encoding="utf-8"?>
<sst xmlns="http://schemas.openxmlformats.org/spreadsheetml/2006/main" count="150" uniqueCount="118">
  <si>
    <t>CUSTO DE PRODUÇÃO POR PRODUTO</t>
  </si>
  <si>
    <t>PRODUTO:</t>
  </si>
  <si>
    <t/>
  </si>
  <si>
    <t>Rendimento por lote:</t>
  </si>
  <si>
    <t>(unidades)</t>
  </si>
  <si>
    <t>CATEGORIA</t>
  </si>
  <si>
    <t>ITEM</t>
  </si>
  <si>
    <t>CUSTO DO LOTE (R$)</t>
  </si>
  <si>
    <t>CUSTO POR UNIDADE</t>
  </si>
  <si>
    <t>MATÉRIA-PRIMA</t>
  </si>
  <si>
    <t>Ingrediente principal (ex: pimenta)</t>
  </si>
  <si>
    <t>Ingrediente 2 (ex: açúcar)</t>
  </si>
  <si>
    <t>Ingrediente 3 (ex: vinagre)</t>
  </si>
  <si>
    <t>Ingrediente 4</t>
  </si>
  <si>
    <t>Ingrediente 5</t>
  </si>
  <si>
    <t>EMBALAGEM</t>
  </si>
  <si>
    <t>Pote / vidro / frasco</t>
  </si>
  <si>
    <t>Rótulo / etiqueta</t>
  </si>
  <si>
    <t>Tampa / lacre</t>
  </si>
  <si>
    <t>Caixa / embalagem externa</t>
  </si>
  <si>
    <t>ENERGIA</t>
  </si>
  <si>
    <t>Gás (proporcional ao lote)</t>
  </si>
  <si>
    <t>Energia elétrica (proporcional)</t>
  </si>
  <si>
    <t>MÃO DE OBRA</t>
  </si>
  <si>
    <t>Horas trabalhadas × valor/hora</t>
  </si>
  <si>
    <t>OUTROS</t>
  </si>
  <si>
    <t>Transporte / frete de insumos</t>
  </si>
  <si>
    <t>Perdas estimadas (5-10%)</t>
  </si>
  <si>
    <t>TOTAL DO LOTE:</t>
  </si>
  <si>
    <t>CUSTO POR UNIDADE:</t>
  </si>
  <si>
    <t>FORMAÇÃO DE PREÇO</t>
  </si>
  <si>
    <t>Custo por unidade (CPU)</t>
  </si>
  <si>
    <t>← copie de "Custo de Produção"</t>
  </si>
  <si>
    <t>Custo total de produção por unidade</t>
  </si>
  <si>
    <t>MÉTODO 1: MARKUP (multiplicador sobre o custo)</t>
  </si>
  <si>
    <t>Markup desejado</t>
  </si>
  <si>
    <t>Ajuste: 2.0 a 4.0</t>
  </si>
  <si>
    <t>2.0 = dobro do custo | 3.0 = triplo | 4.0 = quádruplo</t>
  </si>
  <si>
    <t>PREÇO PELO MARKUP</t>
  </si>
  <si>
    <t>= Custo × Markup</t>
  </si>
  <si>
    <t>MÉTODO 2: MARGEM DE LUCRO (% sobre o preço de venda)</t>
  </si>
  <si>
    <t>Margem desejada (%)</t>
  </si>
  <si>
    <t>Ajuste: 40% a 70%</t>
  </si>
  <si>
    <t>% do preço final que é lucro bruto</t>
  </si>
  <si>
    <t>PREÇO PELA MARGEM</t>
  </si>
  <si>
    <t>= Custo / (1 - margem%)</t>
  </si>
  <si>
    <t>MÉTODO 3: PREÇO BASEADO EM VALOR (recomendado)</t>
  </si>
  <si>
    <t>Quanto o cliente pagaria?</t>
  </si>
  <si>
    <t>Pesquise: quanto custa o similar no mercado?</t>
  </si>
  <si>
    <t>Preço médio dos concorrentes</t>
  </si>
  <si>
    <t>Veja a aba "Comparativo"</t>
  </si>
  <si>
    <t>Seu preço baseado em valor</t>
  </si>
  <si>
    <t>+10-30% se tem diferencial | -10-20% se está entrando no mercado</t>
  </si>
  <si>
    <t>COMPARAÇÃO DOS 3 MÉTODOS</t>
  </si>
  <si>
    <t>MÉTODO</t>
  </si>
  <si>
    <t>PREÇO CALCULADO</t>
  </si>
  <si>
    <t>MARGEM BRUTA (%)</t>
  </si>
  <si>
    <t>LUCRO POR UNIDADE</t>
  </si>
  <si>
    <t>Markup</t>
  </si>
  <si>
    <t>Margem</t>
  </si>
  <si>
    <t>Valor</t>
  </si>
  <si>
    <t>RECOMENDAÇÃO: Use o MAIOR valor entre os 3 métodos. Se o preço por valor é o maior, ótimo — o mercado sustenta. Se o preço por markup é o maior, revise sua proposta de valor.</t>
  </si>
  <si>
    <t>SIMULADOR DE FATURAMENTO MENSAL</t>
  </si>
  <si>
    <t>Preço unitário (R$):</t>
  </si>
  <si>
    <t>← copie da aba anterior</t>
  </si>
  <si>
    <t>Custo unitário (R$):</t>
  </si>
  <si>
    <t>← copie da aba "Custo"</t>
  </si>
  <si>
    <t>CENÁRIO</t>
  </si>
  <si>
    <t>UNID./MÊS</t>
  </si>
  <si>
    <t>PREÇO UNIT.</t>
  </si>
  <si>
    <t>FATURAMENTO</t>
  </si>
  <si>
    <t>CUSTO TOTAL</t>
  </si>
  <si>
    <t>LUCRO BRUTO</t>
  </si>
  <si>
    <t>MARGEM %</t>
  </si>
  <si>
    <t>Conservador</t>
  </si>
  <si>
    <t>Realista</t>
  </si>
  <si>
    <t>Otimista</t>
  </si>
  <si>
    <t>COMPARATIVO DE CONCORRENTES</t>
  </si>
  <si>
    <t>CONCORRENTE</t>
  </si>
  <si>
    <t>PRODUTO</t>
  </si>
  <si>
    <t>PESO/VOL.</t>
  </si>
  <si>
    <t>PREÇO (R$)</t>
  </si>
  <si>
    <t>PREÇO/100g</t>
  </si>
  <si>
    <t>DIFERENCIAL</t>
  </si>
  <si>
    <t>ONDE VENDE</t>
  </si>
  <si>
    <t>Concorrente 1</t>
  </si>
  <si>
    <t>Concorrente 2</t>
  </si>
  <si>
    <t>Concorrente 3</t>
  </si>
  <si>
    <t>Concorrente 4</t>
  </si>
  <si>
    <t>Concorrente 5</t>
  </si>
  <si>
    <t>SEU PRODUTO</t>
  </si>
  <si>
    <t>REFERÊNCIAS DE MARKUP POR CATEGORIA</t>
  </si>
  <si>
    <t>MARKUP MÍN.</t>
  </si>
  <si>
    <t>MARKUP RECOMENDADO</t>
  </si>
  <si>
    <t>MARKUP PREMIUM</t>
  </si>
  <si>
    <t>OBSERVAÇÃO</t>
  </si>
  <si>
    <t>Geleias e doces</t>
  </si>
  <si>
    <t>Premium: ingredientes raros ou orgânicos</t>
  </si>
  <si>
    <t>Queijos artesanais</t>
  </si>
  <si>
    <t>Maturados e com IG podem ter markup maior</t>
  </si>
  <si>
    <t>Molhos e temperos</t>
  </si>
  <si>
    <t>Pimentas especiais: markup alto</t>
  </si>
  <si>
    <t>Conservas</t>
  </si>
  <si>
    <t>Em azeite premium: markup maior</t>
  </si>
  <si>
    <t>Pães e fermentados</t>
  </si>
  <si>
    <t>Massa madre e longa fermentação: premium</t>
  </si>
  <si>
    <t>Mel e derivados</t>
  </si>
  <si>
    <t>Mel com IG ou orgânico: premium</t>
  </si>
  <si>
    <t>Embutidos</t>
  </si>
  <si>
    <t>Curados e defumados: markup maior</t>
  </si>
  <si>
    <t>DICAS DE PRECIFICAÇÃO</t>
  </si>
  <si>
    <t>1. NUNCA precifique apenas pelo custo. O cliente paga pelo VALOR percebido.</t>
  </si>
  <si>
    <t>2. Produto artesanal NÃO compete por preço. Barato demais desvaloriza.</t>
  </si>
  <si>
    <t>3. Teste preços: aumente 20% e meça o impacto. Muitas vezes a demanda NÃO cai.</t>
  </si>
  <si>
    <t>4. Embalagem premium permite preço premium. Invista nos rótulos.</t>
  </si>
  <si>
    <t>5. Edições limitadas e sazonais podem ter markup de 3x a 5x.</t>
  </si>
  <si>
    <t>6. Incluir a história do produto (terroir, processo) justifica preço maior.</t>
  </si>
  <si>
    <t>7. Feiras e eventos permitem preço 10-30% acima do online.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</si>
</sst>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&quot;%&quot;"/>
    <numFmt numFmtId="166" formatCode="\R\$\ #,##0.00"/>
  </numFmts>
  <fonts count="12" x14ac:knownFonts="1">
    <font>
      <sz val="11"/>
      <color theme="1"/>
      <name val="Calibri"/>
      <family val="2"/>
      <scheme val="minor"/>
    </font>
    <font>
      <b/>
      <sz val="14"/>
      <color rgb="FFD4A853"/>
      <name val="Calibri"/>
      <family val="2"/>
    </font>
    <font>
      <sz val="10"/>
      <color rgb="FFC4B99A"/>
      <name val="Calibri"/>
      <family val="2"/>
    </font>
    <font>
      <sz val="11"/>
      <color rgb="FFFFFFFF"/>
      <name val="Calibri"/>
      <family val="2"/>
    </font>
    <font>
      <b/>
      <sz val="10"/>
      <color rgb="FFD4A853"/>
      <name val="Courier New"/>
      <family val="1"/>
    </font>
    <font>
      <b/>
      <sz val="11"/>
      <color rgb="FF6CBF6C"/>
      <name val="Calibri"/>
      <family val="2"/>
    </font>
    <font>
      <b/>
      <sz val="11"/>
      <color rgb="FFD4A853"/>
      <name val="Calibri"/>
      <family val="2"/>
    </font>
    <font>
      <b/>
      <sz val="12"/>
      <color rgb="FFD4A853"/>
      <name val="Calibri"/>
      <family val="2"/>
    </font>
    <font>
      <b/>
      <sz val="13"/>
      <color rgb="FF6CBF6C"/>
      <name val="Calibri"/>
      <family val="2"/>
    </font>
    <font>
      <b/>
      <sz val="11"/>
      <color rgb="FFC4B99A"/>
      <name val="Calibri"/>
      <family val="2"/>
    </font>
    <font>
      <i/>
      <sz val="10"/>
      <color rgb="FFD4A853"/>
      <name val="Calibri"/>
      <family val="2"/>
    </font>
    <font>
      <sz val="11"/>
      <color rgb="FFC4B99A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11111"/>
      </patternFill>
    </fill>
    <fill>
      <patternFill patternType="solid">
        <fgColor rgb="FF0A0A0A"/>
      </patternFill>
    </fill>
    <fill>
      <patternFill patternType="solid">
        <fgColor rgb="FF1F1A0F"/>
      </patternFill>
    </fill>
    <fill>
      <patternFill patternType="solid">
        <fgColor rgb="FF1A1A1A"/>
      </patternFill>
    </fill>
    <fill>
      <patternFill patternType="solid">
        <fgColor rgb="FF2A2210"/>
      </patternFill>
    </fill>
  </fills>
  <borders count="4">
    <border>
      <left/>
      <right/>
      <top/>
      <bottom/>
      <diagonal/>
    </border>
    <border>
      <left style="thin">
        <color rgb="FFA08338"/>
      </left>
      <right style="thin">
        <color rgb="FFA08338"/>
      </right>
      <top style="thin">
        <color rgb="FFA08338"/>
      </top>
      <bottom style="thin">
        <color rgb="FFA08338"/>
      </bottom>
      <diagonal/>
    </border>
    <border>
      <left style="thin">
        <color rgb="FFD4A853"/>
      </left>
      <right style="thin">
        <color rgb="FFD4A853"/>
      </right>
      <top style="thin">
        <color rgb="FFD4A853"/>
      </top>
      <bottom style="thin">
        <color rgb="FFD4A853"/>
      </bottom>
      <diagonal/>
    </border>
    <border>
      <left style="thin">
        <color rgb="FF3D3520"/>
      </left>
      <right style="thin">
        <color rgb="FF3D3520"/>
      </right>
      <top style="thin">
        <color rgb="FF3D3520"/>
      </top>
      <bottom style="thin">
        <color rgb="FF3D352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vertical="center" wrapText="1"/>
    </xf>
    <xf numFmtId="49" fontId="3" fillId="4" borderId="2" xfId="0" applyNumberFormat="1" applyFont="1" applyFill="1" applyBorder="1"/>
    <xf numFmtId="3" fontId="3" fillId="4" borderId="2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4" fontId="3" fillId="4" borderId="2" xfId="0" applyNumberFormat="1" applyFont="1" applyFill="1" applyBorder="1"/>
    <xf numFmtId="4" fontId="5" fillId="5" borderId="3" xfId="0" applyNumberFormat="1" applyFont="1" applyFill="1" applyBorder="1"/>
    <xf numFmtId="0" fontId="6" fillId="2" borderId="0" xfId="0" applyFont="1" applyFill="1"/>
    <xf numFmtId="4" fontId="7" fillId="5" borderId="3" xfId="0" applyNumberFormat="1" applyFont="1" applyFill="1" applyBorder="1"/>
    <xf numFmtId="4" fontId="8" fillId="5" borderId="3" xfId="0" applyNumberFormat="1" applyFont="1" applyFill="1" applyBorder="1"/>
    <xf numFmtId="164" fontId="3" fillId="4" borderId="2" xfId="0" applyNumberFormat="1" applyFont="1" applyFill="1" applyBorder="1"/>
    <xf numFmtId="1" fontId="3" fillId="4" borderId="2" xfId="0" applyNumberFormat="1" applyFont="1" applyFill="1" applyBorder="1"/>
    <xf numFmtId="165" fontId="5" fillId="5" borderId="3" xfId="0" applyNumberFormat="1" applyFont="1" applyFill="1" applyBorder="1"/>
    <xf numFmtId="166" fontId="5" fillId="5" borderId="3" xfId="0" applyNumberFormat="1" applyFont="1" applyFill="1" applyBorder="1"/>
    <xf numFmtId="0" fontId="6" fillId="6" borderId="2" xfId="0" applyFont="1" applyFill="1" applyBorder="1"/>
    <xf numFmtId="164" fontId="11" fillId="5" borderId="0" xfId="0" applyNumberFormat="1" applyFont="1" applyFill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49" fontId="3" fillId="4" borderId="2" xfId="0" applyNumberFormat="1" applyFont="1" applyFill="1" applyBorder="1"/>
    <xf numFmtId="0" fontId="9" fillId="3" borderId="0" xfId="0" applyFont="1" applyFill="1" applyAlignment="1">
      <alignment horizontal="left" vertical="center"/>
    </xf>
    <xf numFmtId="0" fontId="10" fillId="6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4A853"/>
  </sheetPr>
  <dimension ref="A1:D23"/>
  <sheetViews>
    <sheetView showGridLines="0" workbookViewId="0">
      <selection activeCell="G13" sqref="G13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3" width="18" customWidth="1"/>
    <col min="4" max="4" width="20" customWidth="1"/>
  </cols>
  <sheetData>
    <row r="1" spans="1:4" ht="32" customHeight="1" x14ac:dyDescent="0.2">
      <c r="A1" s="18" t="s">
        <v>0</v>
      </c>
      <c r="B1" s="18"/>
      <c r="C1" s="18"/>
      <c r="D1" s="18"/>
    </row>
    <row r="2" spans="1:4" x14ac:dyDescent="0.2">
      <c r="A2" s="1"/>
      <c r="B2" s="1"/>
      <c r="C2" s="1"/>
      <c r="D2" s="1"/>
    </row>
    <row r="3" spans="1:4" x14ac:dyDescent="0.2">
      <c r="A3" s="2" t="s">
        <v>1</v>
      </c>
      <c r="B3" s="19" t="s">
        <v>2</v>
      </c>
      <c r="C3" s="19"/>
      <c r="D3" s="19"/>
    </row>
    <row r="4" spans="1:4" x14ac:dyDescent="0.2">
      <c r="A4" s="2" t="s">
        <v>3</v>
      </c>
      <c r="B4" s="2" t="s">
        <v>4</v>
      </c>
      <c r="C4" s="4">
        <v>0</v>
      </c>
    </row>
    <row r="5" spans="1:4" x14ac:dyDescent="0.2">
      <c r="A5" s="1"/>
      <c r="B5" s="1"/>
      <c r="C5" s="1"/>
      <c r="D5" s="1"/>
    </row>
    <row r="6" spans="1:4" ht="28" customHeight="1" x14ac:dyDescent="0.2">
      <c r="A6" s="5" t="s">
        <v>5</v>
      </c>
      <c r="B6" s="5" t="s">
        <v>6</v>
      </c>
      <c r="C6" s="5" t="s">
        <v>7</v>
      </c>
      <c r="D6" s="5" t="s">
        <v>8</v>
      </c>
    </row>
    <row r="7" spans="1:4" ht="22" customHeight="1" x14ac:dyDescent="0.2">
      <c r="A7" s="2" t="s">
        <v>9</v>
      </c>
      <c r="B7" s="2" t="s">
        <v>10</v>
      </c>
      <c r="C7" s="6">
        <v>0</v>
      </c>
      <c r="D7" s="7">
        <f>IF(C4=0,0,C7/C4)</f>
        <v>0</v>
      </c>
    </row>
    <row r="8" spans="1:4" ht="22" customHeight="1" x14ac:dyDescent="0.2">
      <c r="A8" s="2" t="s">
        <v>9</v>
      </c>
      <c r="B8" s="2" t="s">
        <v>11</v>
      </c>
      <c r="C8" s="6">
        <v>0</v>
      </c>
      <c r="D8" s="7">
        <f>IF(C4=0,0,C8/C4)</f>
        <v>0</v>
      </c>
    </row>
    <row r="9" spans="1:4" ht="22" customHeight="1" x14ac:dyDescent="0.2">
      <c r="A9" s="2" t="s">
        <v>9</v>
      </c>
      <c r="B9" s="2" t="s">
        <v>12</v>
      </c>
      <c r="C9" s="6">
        <v>0</v>
      </c>
      <c r="D9" s="7">
        <f>IF(C4=0,0,C9/C4)</f>
        <v>0</v>
      </c>
    </row>
    <row r="10" spans="1:4" ht="22" customHeight="1" x14ac:dyDescent="0.2">
      <c r="A10" s="2" t="s">
        <v>9</v>
      </c>
      <c r="B10" s="2" t="s">
        <v>13</v>
      </c>
      <c r="C10" s="6">
        <v>0</v>
      </c>
      <c r="D10" s="7">
        <f>IF(C4=0,0,C10/C4)</f>
        <v>0</v>
      </c>
    </row>
    <row r="11" spans="1:4" ht="22" customHeight="1" x14ac:dyDescent="0.2">
      <c r="A11" s="2" t="s">
        <v>9</v>
      </c>
      <c r="B11" s="2" t="s">
        <v>14</v>
      </c>
      <c r="C11" s="6">
        <v>0</v>
      </c>
      <c r="D11" s="7">
        <f>IF(C4=0,0,C11/C4)</f>
        <v>0</v>
      </c>
    </row>
    <row r="12" spans="1:4" ht="22" customHeight="1" x14ac:dyDescent="0.2">
      <c r="A12" s="2" t="s">
        <v>15</v>
      </c>
      <c r="B12" s="2" t="s">
        <v>16</v>
      </c>
      <c r="C12" s="6">
        <v>0</v>
      </c>
      <c r="D12" s="7">
        <f>IF(C4=0,0,C12/C4)</f>
        <v>0</v>
      </c>
    </row>
    <row r="13" spans="1:4" ht="22" customHeight="1" x14ac:dyDescent="0.2">
      <c r="A13" s="2" t="s">
        <v>15</v>
      </c>
      <c r="B13" s="2" t="s">
        <v>17</v>
      </c>
      <c r="C13" s="6">
        <v>0</v>
      </c>
      <c r="D13" s="7">
        <f>IF(C4=0,0,C13/C4)</f>
        <v>0</v>
      </c>
    </row>
    <row r="14" spans="1:4" ht="22" customHeight="1" x14ac:dyDescent="0.2">
      <c r="A14" s="2" t="s">
        <v>15</v>
      </c>
      <c r="B14" s="2" t="s">
        <v>18</v>
      </c>
      <c r="C14" s="6">
        <v>0</v>
      </c>
      <c r="D14" s="7">
        <f>IF(C4=0,0,C14/C4)</f>
        <v>0</v>
      </c>
    </row>
    <row r="15" spans="1:4" ht="22" customHeight="1" x14ac:dyDescent="0.2">
      <c r="A15" s="2" t="s">
        <v>15</v>
      </c>
      <c r="B15" s="2" t="s">
        <v>19</v>
      </c>
      <c r="C15" s="6">
        <v>0</v>
      </c>
      <c r="D15" s="7">
        <f>IF(C4=0,0,C15/C4)</f>
        <v>0</v>
      </c>
    </row>
    <row r="16" spans="1:4" ht="22" customHeight="1" x14ac:dyDescent="0.2">
      <c r="A16" s="2" t="s">
        <v>20</v>
      </c>
      <c r="B16" s="2" t="s">
        <v>21</v>
      </c>
      <c r="C16" s="6">
        <v>0</v>
      </c>
      <c r="D16" s="7">
        <f>IF(C4=0,0,C16/C4)</f>
        <v>0</v>
      </c>
    </row>
    <row r="17" spans="1:4" ht="22" customHeight="1" x14ac:dyDescent="0.2">
      <c r="A17" s="2" t="s">
        <v>20</v>
      </c>
      <c r="B17" s="2" t="s">
        <v>22</v>
      </c>
      <c r="C17" s="6">
        <v>0</v>
      </c>
      <c r="D17" s="7">
        <f>IF(C4=0,0,C17/C4)</f>
        <v>0</v>
      </c>
    </row>
    <row r="18" spans="1:4" ht="22" customHeight="1" x14ac:dyDescent="0.2">
      <c r="A18" s="2" t="s">
        <v>23</v>
      </c>
      <c r="B18" s="2" t="s">
        <v>24</v>
      </c>
      <c r="C18" s="6">
        <v>0</v>
      </c>
      <c r="D18" s="7">
        <f>IF(C4=0,0,C18/C4)</f>
        <v>0</v>
      </c>
    </row>
    <row r="19" spans="1:4" ht="22" customHeight="1" x14ac:dyDescent="0.2">
      <c r="A19" s="2" t="s">
        <v>25</v>
      </c>
      <c r="B19" s="2" t="s">
        <v>26</v>
      </c>
      <c r="C19" s="6">
        <v>0</v>
      </c>
      <c r="D19" s="7">
        <f>IF(C4=0,0,C19/C4)</f>
        <v>0</v>
      </c>
    </row>
    <row r="20" spans="1:4" ht="22" customHeight="1" x14ac:dyDescent="0.2">
      <c r="A20" s="2" t="s">
        <v>25</v>
      </c>
      <c r="B20" s="2" t="s">
        <v>27</v>
      </c>
      <c r="C20" s="6">
        <v>0</v>
      </c>
      <c r="D20" s="7">
        <f>IF(C4=0,0,C20/C4)</f>
        <v>0</v>
      </c>
    </row>
    <row r="21" spans="1:4" x14ac:dyDescent="0.2">
      <c r="A21" s="1"/>
      <c r="B21" s="1"/>
      <c r="C21" s="1"/>
      <c r="D21" s="1"/>
    </row>
    <row r="22" spans="1:4" ht="28" customHeight="1" x14ac:dyDescent="0.2">
      <c r="A22" s="2" t="s">
        <v>2</v>
      </c>
      <c r="B22" s="2" t="s">
        <v>2</v>
      </c>
      <c r="C22" s="8" t="s">
        <v>28</v>
      </c>
      <c r="D22" s="9">
        <f>SUM(C7:C20)</f>
        <v>0</v>
      </c>
    </row>
    <row r="23" spans="1:4" ht="30" customHeight="1" x14ac:dyDescent="0.2">
      <c r="A23" s="2" t="s">
        <v>2</v>
      </c>
      <c r="B23" s="2" t="s">
        <v>2</v>
      </c>
      <c r="C23" s="8" t="s">
        <v>29</v>
      </c>
      <c r="D23" s="10">
        <f>IF(C4=0,0,D22/C4)</f>
        <v>0</v>
      </c>
    </row>
  </sheetData>
  <mergeCells count="2">
    <mergeCell ref="A1:D1"/>
    <mergeCell ref="B3:D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853"/>
  </sheetPr>
  <dimension ref="A1:D24"/>
  <sheetViews>
    <sheetView showGridLines="0" workbookViewId="0">
      <selection sqref="A1:D1"/>
    </sheetView>
  </sheetViews>
  <sheetFormatPr baseColWidth="10" defaultColWidth="8.83203125" defaultRowHeight="15" x14ac:dyDescent="0.2"/>
  <cols>
    <col min="1" max="1" width="36" customWidth="1"/>
    <col min="2" max="2" width="18" customWidth="1"/>
    <col min="3" max="3" width="22" customWidth="1"/>
    <col min="4" max="4" width="42" customWidth="1"/>
  </cols>
  <sheetData>
    <row r="1" spans="1:4" ht="32" customHeight="1" x14ac:dyDescent="0.2">
      <c r="A1" s="18" t="s">
        <v>30</v>
      </c>
      <c r="B1" s="18"/>
      <c r="C1" s="18"/>
      <c r="D1" s="18"/>
    </row>
    <row r="2" spans="1:4" x14ac:dyDescent="0.2">
      <c r="A2" s="1"/>
      <c r="B2" s="1"/>
      <c r="C2" s="1"/>
      <c r="D2" s="1"/>
    </row>
    <row r="3" spans="1:4" ht="30" x14ac:dyDescent="0.2">
      <c r="A3" s="2" t="s">
        <v>31</v>
      </c>
      <c r="B3" s="6">
        <v>0</v>
      </c>
      <c r="C3" s="2" t="s">
        <v>32</v>
      </c>
      <c r="D3" s="2" t="s">
        <v>33</v>
      </c>
    </row>
    <row r="4" spans="1:4" x14ac:dyDescent="0.2">
      <c r="A4" s="1"/>
      <c r="B4" s="1"/>
      <c r="C4" s="1"/>
      <c r="D4" s="1"/>
    </row>
    <row r="5" spans="1:4" ht="24" customHeight="1" x14ac:dyDescent="0.2">
      <c r="A5" s="20" t="s">
        <v>34</v>
      </c>
      <c r="B5" s="20"/>
      <c r="C5" s="20"/>
      <c r="D5" s="20"/>
    </row>
    <row r="6" spans="1:4" x14ac:dyDescent="0.2">
      <c r="A6" s="2" t="s">
        <v>35</v>
      </c>
      <c r="B6" s="11">
        <v>2.5</v>
      </c>
      <c r="C6" s="2" t="s">
        <v>36</v>
      </c>
      <c r="D6" s="2" t="s">
        <v>37</v>
      </c>
    </row>
    <row r="7" spans="1:4" ht="17" x14ac:dyDescent="0.2">
      <c r="A7" s="2" t="s">
        <v>38</v>
      </c>
      <c r="B7" s="10">
        <f>B3*B6</f>
        <v>0</v>
      </c>
      <c r="C7" s="2" t="s">
        <v>39</v>
      </c>
    </row>
    <row r="8" spans="1:4" x14ac:dyDescent="0.2">
      <c r="A8" s="1"/>
      <c r="B8" s="1"/>
      <c r="C8" s="1"/>
      <c r="D8" s="1"/>
    </row>
    <row r="9" spans="1:4" ht="24" customHeight="1" x14ac:dyDescent="0.2">
      <c r="A9" s="20" t="s">
        <v>40</v>
      </c>
      <c r="B9" s="20"/>
      <c r="C9" s="20"/>
      <c r="D9" s="20"/>
    </row>
    <row r="10" spans="1:4" x14ac:dyDescent="0.2">
      <c r="A10" s="2" t="s">
        <v>41</v>
      </c>
      <c r="B10" s="12">
        <v>60</v>
      </c>
      <c r="C10" s="2" t="s">
        <v>42</v>
      </c>
      <c r="D10" s="2" t="s">
        <v>43</v>
      </c>
    </row>
    <row r="11" spans="1:4" ht="17" x14ac:dyDescent="0.2">
      <c r="A11" s="2" t="s">
        <v>44</v>
      </c>
      <c r="B11" s="10">
        <f>IF(B10&gt;=100,0,B3/(1-(B10/100)))</f>
        <v>0</v>
      </c>
      <c r="C11" s="2" t="s">
        <v>45</v>
      </c>
    </row>
    <row r="12" spans="1:4" x14ac:dyDescent="0.2">
      <c r="A12" s="1"/>
      <c r="B12" s="1"/>
      <c r="C12" s="1"/>
      <c r="D12" s="1"/>
    </row>
    <row r="13" spans="1:4" ht="24" customHeight="1" x14ac:dyDescent="0.2">
      <c r="A13" s="20" t="s">
        <v>46</v>
      </c>
      <c r="B13" s="20"/>
      <c r="C13" s="20"/>
      <c r="D13" s="20"/>
    </row>
    <row r="14" spans="1:4" x14ac:dyDescent="0.2">
      <c r="A14" s="2" t="s">
        <v>47</v>
      </c>
      <c r="B14" s="6">
        <v>0</v>
      </c>
      <c r="D14" s="2" t="s">
        <v>48</v>
      </c>
    </row>
    <row r="15" spans="1:4" x14ac:dyDescent="0.2">
      <c r="A15" s="2" t="s">
        <v>49</v>
      </c>
      <c r="B15" s="6">
        <v>0</v>
      </c>
      <c r="D15" s="2" t="s">
        <v>50</v>
      </c>
    </row>
    <row r="16" spans="1:4" ht="30" x14ac:dyDescent="0.2">
      <c r="A16" s="2" t="s">
        <v>51</v>
      </c>
      <c r="B16" s="6">
        <v>0</v>
      </c>
      <c r="D16" s="2" t="s">
        <v>52</v>
      </c>
    </row>
    <row r="17" spans="1:4" x14ac:dyDescent="0.2">
      <c r="A17" s="1"/>
      <c r="B17" s="1"/>
      <c r="C17" s="1"/>
      <c r="D17" s="1"/>
    </row>
    <row r="18" spans="1:4" ht="24" customHeight="1" x14ac:dyDescent="0.2">
      <c r="A18" s="20" t="s">
        <v>53</v>
      </c>
      <c r="B18" s="20"/>
      <c r="C18" s="20"/>
      <c r="D18" s="20"/>
    </row>
    <row r="19" spans="1:4" ht="28" customHeight="1" x14ac:dyDescent="0.2">
      <c r="A19" s="5" t="s">
        <v>54</v>
      </c>
      <c r="B19" s="5" t="s">
        <v>55</v>
      </c>
      <c r="C19" s="5" t="s">
        <v>56</v>
      </c>
      <c r="D19" s="5" t="s">
        <v>57</v>
      </c>
    </row>
    <row r="20" spans="1:4" x14ac:dyDescent="0.2">
      <c r="A20" s="2" t="s">
        <v>58</v>
      </c>
      <c r="B20" s="7">
        <f>B7</f>
        <v>0</v>
      </c>
      <c r="C20" s="13">
        <f>IF(B7=0,0,((B7-B3)/B7)*100)</f>
        <v>0</v>
      </c>
      <c r="D20" s="7">
        <f>B7-B3</f>
        <v>0</v>
      </c>
    </row>
    <row r="21" spans="1:4" x14ac:dyDescent="0.2">
      <c r="A21" s="2" t="s">
        <v>59</v>
      </c>
      <c r="B21" s="7">
        <f>B11</f>
        <v>0</v>
      </c>
      <c r="C21" s="13">
        <f>IF(B11=0,0,((B11-B3)/B11)*100)</f>
        <v>0</v>
      </c>
      <c r="D21" s="7">
        <f>B11-B3</f>
        <v>0</v>
      </c>
    </row>
    <row r="22" spans="1:4" x14ac:dyDescent="0.2">
      <c r="A22" s="2" t="s">
        <v>60</v>
      </c>
      <c r="B22" s="7">
        <f>B16</f>
        <v>0</v>
      </c>
      <c r="C22" s="13">
        <f>IF(B16=0,0,((B16-B3)/B16)*100)</f>
        <v>0</v>
      </c>
      <c r="D22" s="7">
        <f>B16-B3</f>
        <v>0</v>
      </c>
    </row>
    <row r="23" spans="1:4" x14ac:dyDescent="0.2">
      <c r="A23" s="1"/>
      <c r="B23" s="1"/>
      <c r="C23" s="1"/>
      <c r="D23" s="1"/>
    </row>
    <row r="24" spans="1:4" ht="36" customHeight="1" x14ac:dyDescent="0.2">
      <c r="A24" s="21" t="s">
        <v>61</v>
      </c>
      <c r="B24" s="21"/>
      <c r="C24" s="21"/>
      <c r="D24" s="21"/>
    </row>
  </sheetData>
  <mergeCells count="6">
    <mergeCell ref="A24:D24"/>
    <mergeCell ref="A1:D1"/>
    <mergeCell ref="A5:D5"/>
    <mergeCell ref="A9:D9"/>
    <mergeCell ref="A13:D13"/>
    <mergeCell ref="A18:D18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4A853"/>
  </sheetPr>
  <dimension ref="A1:G9"/>
  <sheetViews>
    <sheetView showGridLines="0" workbookViewId="0">
      <selection sqref="A1:G1"/>
    </sheetView>
  </sheetViews>
  <sheetFormatPr baseColWidth="10" defaultColWidth="8.83203125" defaultRowHeight="15" x14ac:dyDescent="0.2"/>
  <cols>
    <col min="1" max="6" width="18" customWidth="1"/>
    <col min="7" max="7" width="14" customWidth="1"/>
  </cols>
  <sheetData>
    <row r="1" spans="1:7" ht="32" customHeight="1" x14ac:dyDescent="0.2">
      <c r="A1" s="18" t="s">
        <v>62</v>
      </c>
      <c r="B1" s="18"/>
      <c r="C1" s="18"/>
      <c r="D1" s="18"/>
      <c r="E1" s="18"/>
      <c r="F1" s="18"/>
      <c r="G1" s="18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2" t="s">
        <v>63</v>
      </c>
      <c r="B3" s="6">
        <v>0</v>
      </c>
      <c r="C3" s="2" t="s">
        <v>64</v>
      </c>
    </row>
    <row r="4" spans="1:7" x14ac:dyDescent="0.2">
      <c r="A4" s="2" t="s">
        <v>65</v>
      </c>
      <c r="B4" s="6">
        <v>0</v>
      </c>
      <c r="C4" s="2" t="s">
        <v>66</v>
      </c>
    </row>
    <row r="5" spans="1:7" x14ac:dyDescent="0.2">
      <c r="A5" s="1"/>
      <c r="B5" s="1"/>
      <c r="C5" s="1"/>
      <c r="D5" s="1"/>
      <c r="E5" s="1"/>
      <c r="F5" s="1"/>
      <c r="G5" s="1"/>
    </row>
    <row r="6" spans="1:7" ht="28" customHeight="1" x14ac:dyDescent="0.2">
      <c r="A6" s="5" t="s">
        <v>67</v>
      </c>
      <c r="B6" s="5" t="s">
        <v>68</v>
      </c>
      <c r="C6" s="5" t="s">
        <v>69</v>
      </c>
      <c r="D6" s="5" t="s">
        <v>70</v>
      </c>
      <c r="E6" s="5" t="s">
        <v>71</v>
      </c>
      <c r="F6" s="5" t="s">
        <v>72</v>
      </c>
      <c r="G6" s="5" t="s">
        <v>73</v>
      </c>
    </row>
    <row r="7" spans="1:7" ht="24" customHeight="1" x14ac:dyDescent="0.2">
      <c r="A7" s="2" t="s">
        <v>74</v>
      </c>
      <c r="B7" s="4">
        <v>50</v>
      </c>
      <c r="C7" s="7">
        <f>B3</f>
        <v>0</v>
      </c>
      <c r="D7" s="14">
        <f>B7*C7</f>
        <v>0</v>
      </c>
      <c r="E7" s="14">
        <f>B7*B4</f>
        <v>0</v>
      </c>
      <c r="F7" s="14">
        <f>D7-E7</f>
        <v>0</v>
      </c>
      <c r="G7" s="13">
        <f>IF(D7=0,0,(F7/D7)*100)</f>
        <v>0</v>
      </c>
    </row>
    <row r="8" spans="1:7" ht="24" customHeight="1" x14ac:dyDescent="0.2">
      <c r="A8" s="2" t="s">
        <v>75</v>
      </c>
      <c r="B8" s="4">
        <v>150</v>
      </c>
      <c r="C8" s="7">
        <f>B3</f>
        <v>0</v>
      </c>
      <c r="D8" s="14">
        <f>B8*C8</f>
        <v>0</v>
      </c>
      <c r="E8" s="14">
        <f>B8*B4</f>
        <v>0</v>
      </c>
      <c r="F8" s="14">
        <f>D8-E8</f>
        <v>0</v>
      </c>
      <c r="G8" s="13">
        <f>IF(D8=0,0,(F8/D8)*100)</f>
        <v>0</v>
      </c>
    </row>
    <row r="9" spans="1:7" ht="24" customHeight="1" x14ac:dyDescent="0.2">
      <c r="A9" s="2" t="s">
        <v>76</v>
      </c>
      <c r="B9" s="4">
        <v>300</v>
      </c>
      <c r="C9" s="7">
        <f>B3</f>
        <v>0</v>
      </c>
      <c r="D9" s="14">
        <f>B9*C9</f>
        <v>0</v>
      </c>
      <c r="E9" s="14">
        <f>B9*B4</f>
        <v>0</v>
      </c>
      <c r="F9" s="14">
        <f>D9-E9</f>
        <v>0</v>
      </c>
      <c r="G9" s="13">
        <f>IF(D9=0,0,(F9/D9)*100)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853"/>
  </sheetPr>
  <dimension ref="A1:G9"/>
  <sheetViews>
    <sheetView showGridLines="0" workbookViewId="0">
      <selection sqref="A1:G1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4" width="16" customWidth="1"/>
    <col min="5" max="5" width="18" customWidth="1"/>
    <col min="6" max="6" width="28" customWidth="1"/>
    <col min="7" max="7" width="20" customWidth="1"/>
  </cols>
  <sheetData>
    <row r="1" spans="1:7" ht="32" customHeight="1" x14ac:dyDescent="0.2">
      <c r="A1" s="18" t="s">
        <v>77</v>
      </c>
      <c r="B1" s="18"/>
      <c r="C1" s="18"/>
      <c r="D1" s="18"/>
      <c r="E1" s="18"/>
      <c r="F1" s="18"/>
      <c r="G1" s="18"/>
    </row>
    <row r="2" spans="1:7" x14ac:dyDescent="0.2">
      <c r="A2" s="1"/>
      <c r="B2" s="1"/>
      <c r="C2" s="1"/>
      <c r="D2" s="1"/>
      <c r="E2" s="1"/>
      <c r="F2" s="1"/>
      <c r="G2" s="1"/>
    </row>
    <row r="3" spans="1:7" ht="28" customHeight="1" x14ac:dyDescent="0.2">
      <c r="A3" s="5" t="s">
        <v>78</v>
      </c>
      <c r="B3" s="5" t="s">
        <v>79</v>
      </c>
      <c r="C3" s="5" t="s">
        <v>80</v>
      </c>
      <c r="D3" s="5" t="s">
        <v>81</v>
      </c>
      <c r="E3" s="5" t="s">
        <v>82</v>
      </c>
      <c r="F3" s="5" t="s">
        <v>83</v>
      </c>
      <c r="G3" s="5" t="s">
        <v>84</v>
      </c>
    </row>
    <row r="4" spans="1:7" x14ac:dyDescent="0.2">
      <c r="A4" s="2" t="s">
        <v>85</v>
      </c>
      <c r="B4" s="3" t="s">
        <v>2</v>
      </c>
      <c r="C4" s="4">
        <v>0</v>
      </c>
      <c r="D4" s="6">
        <v>0</v>
      </c>
      <c r="E4" s="7">
        <f t="shared" ref="E4:E9" si="0">IF(C4=0,0,D4/(C4/100))</f>
        <v>0</v>
      </c>
      <c r="F4" s="3" t="s">
        <v>2</v>
      </c>
      <c r="G4" s="3" t="s">
        <v>2</v>
      </c>
    </row>
    <row r="5" spans="1:7" x14ac:dyDescent="0.2">
      <c r="A5" s="2" t="s">
        <v>86</v>
      </c>
      <c r="B5" s="3" t="s">
        <v>2</v>
      </c>
      <c r="C5" s="4">
        <v>0</v>
      </c>
      <c r="D5" s="6">
        <v>0</v>
      </c>
      <c r="E5" s="7">
        <f t="shared" si="0"/>
        <v>0</v>
      </c>
      <c r="F5" s="3" t="s">
        <v>2</v>
      </c>
      <c r="G5" s="3" t="s">
        <v>2</v>
      </c>
    </row>
    <row r="6" spans="1:7" x14ac:dyDescent="0.2">
      <c r="A6" s="2" t="s">
        <v>87</v>
      </c>
      <c r="B6" s="3" t="s">
        <v>2</v>
      </c>
      <c r="C6" s="4">
        <v>0</v>
      </c>
      <c r="D6" s="6">
        <v>0</v>
      </c>
      <c r="E6" s="7">
        <f t="shared" si="0"/>
        <v>0</v>
      </c>
      <c r="F6" s="3" t="s">
        <v>2</v>
      </c>
      <c r="G6" s="3" t="s">
        <v>2</v>
      </c>
    </row>
    <row r="7" spans="1:7" x14ac:dyDescent="0.2">
      <c r="A7" s="2" t="s">
        <v>88</v>
      </c>
      <c r="B7" s="3" t="s">
        <v>2</v>
      </c>
      <c r="C7" s="4">
        <v>0</v>
      </c>
      <c r="D7" s="6">
        <v>0</v>
      </c>
      <c r="E7" s="7">
        <f t="shared" si="0"/>
        <v>0</v>
      </c>
      <c r="F7" s="3" t="s">
        <v>2</v>
      </c>
      <c r="G7" s="3" t="s">
        <v>2</v>
      </c>
    </row>
    <row r="8" spans="1:7" x14ac:dyDescent="0.2">
      <c r="A8" s="2" t="s">
        <v>89</v>
      </c>
      <c r="B8" s="3" t="s">
        <v>2</v>
      </c>
      <c r="C8" s="4">
        <v>0</v>
      </c>
      <c r="D8" s="6">
        <v>0</v>
      </c>
      <c r="E8" s="7">
        <f t="shared" si="0"/>
        <v>0</v>
      </c>
      <c r="F8" s="3" t="s">
        <v>2</v>
      </c>
      <c r="G8" s="3" t="s">
        <v>2</v>
      </c>
    </row>
    <row r="9" spans="1:7" x14ac:dyDescent="0.2">
      <c r="A9" s="15" t="s">
        <v>90</v>
      </c>
      <c r="B9" s="3" t="s">
        <v>2</v>
      </c>
      <c r="C9" s="4">
        <v>0</v>
      </c>
      <c r="D9" s="6">
        <v>0</v>
      </c>
      <c r="E9" s="7">
        <f t="shared" si="0"/>
        <v>0</v>
      </c>
      <c r="F9" s="3" t="s">
        <v>2</v>
      </c>
      <c r="G9" s="3" t="s">
        <v>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4A853"/>
  </sheetPr>
  <dimension ref="A1:E21"/>
  <sheetViews>
    <sheetView showGridLines="0" tabSelected="1" workbookViewId="0">
      <selection sqref="A1:E1"/>
    </sheetView>
  </sheetViews>
  <sheetFormatPr baseColWidth="10" defaultColWidth="8.83203125" defaultRowHeight="15" x14ac:dyDescent="0.2"/>
  <cols>
    <col min="1" max="1" width="24" customWidth="1"/>
    <col min="2" max="2" width="18" customWidth="1"/>
    <col min="3" max="3" width="22" customWidth="1"/>
    <col min="4" max="4" width="18" customWidth="1"/>
    <col min="5" max="5" width="42" customWidth="1"/>
  </cols>
  <sheetData>
    <row r="1" spans="1:5" ht="32" customHeight="1" x14ac:dyDescent="0.2">
      <c r="A1" s="18" t="s">
        <v>91</v>
      </c>
      <c r="B1" s="18"/>
      <c r="C1" s="18"/>
      <c r="D1" s="18"/>
      <c r="E1" s="18"/>
    </row>
    <row r="2" spans="1:5" x14ac:dyDescent="0.2">
      <c r="A2" s="1"/>
      <c r="B2" s="1"/>
      <c r="C2" s="1"/>
      <c r="D2" s="1"/>
      <c r="E2" s="1"/>
    </row>
    <row r="3" spans="1:5" ht="28" customHeight="1" x14ac:dyDescent="0.2">
      <c r="A3" s="5" t="s">
        <v>5</v>
      </c>
      <c r="B3" s="5" t="s">
        <v>92</v>
      </c>
      <c r="C3" s="5" t="s">
        <v>93</v>
      </c>
      <c r="D3" s="5" t="s">
        <v>94</v>
      </c>
      <c r="E3" s="5" t="s">
        <v>95</v>
      </c>
    </row>
    <row r="4" spans="1:5" ht="24" customHeight="1" x14ac:dyDescent="0.2">
      <c r="A4" s="2" t="s">
        <v>96</v>
      </c>
      <c r="B4" s="16">
        <v>2</v>
      </c>
      <c r="C4" s="17">
        <v>2.5</v>
      </c>
      <c r="D4" s="16">
        <v>3.5</v>
      </c>
      <c r="E4" s="2" t="s">
        <v>97</v>
      </c>
    </row>
    <row r="5" spans="1:5" ht="24" customHeight="1" x14ac:dyDescent="0.2">
      <c r="A5" s="2" t="s">
        <v>98</v>
      </c>
      <c r="B5" s="16">
        <v>2</v>
      </c>
      <c r="C5" s="17">
        <v>3</v>
      </c>
      <c r="D5" s="16">
        <v>4</v>
      </c>
      <c r="E5" s="2" t="s">
        <v>99</v>
      </c>
    </row>
    <row r="6" spans="1:5" ht="24" customHeight="1" x14ac:dyDescent="0.2">
      <c r="A6" s="2" t="s">
        <v>100</v>
      </c>
      <c r="B6" s="16">
        <v>2.5</v>
      </c>
      <c r="C6" s="17">
        <v>3</v>
      </c>
      <c r="D6" s="16">
        <v>4</v>
      </c>
      <c r="E6" s="2" t="s">
        <v>101</v>
      </c>
    </row>
    <row r="7" spans="1:5" ht="24" customHeight="1" x14ac:dyDescent="0.2">
      <c r="A7" s="2" t="s">
        <v>102</v>
      </c>
      <c r="B7" s="16">
        <v>2</v>
      </c>
      <c r="C7" s="17">
        <v>2.5</v>
      </c>
      <c r="D7" s="16">
        <v>3</v>
      </c>
      <c r="E7" s="2" t="s">
        <v>103</v>
      </c>
    </row>
    <row r="8" spans="1:5" ht="24" customHeight="1" x14ac:dyDescent="0.2">
      <c r="A8" s="2" t="s">
        <v>104</v>
      </c>
      <c r="B8" s="16">
        <v>1.8</v>
      </c>
      <c r="C8" s="17">
        <v>2.5</v>
      </c>
      <c r="D8" s="16">
        <v>3</v>
      </c>
      <c r="E8" s="2" t="s">
        <v>105</v>
      </c>
    </row>
    <row r="9" spans="1:5" ht="24" customHeight="1" x14ac:dyDescent="0.2">
      <c r="A9" s="2" t="s">
        <v>106</v>
      </c>
      <c r="B9" s="16">
        <v>2</v>
      </c>
      <c r="C9" s="17">
        <v>2.5</v>
      </c>
      <c r="D9" s="16">
        <v>3.5</v>
      </c>
      <c r="E9" s="2" t="s">
        <v>107</v>
      </c>
    </row>
    <row r="10" spans="1:5" ht="24" customHeight="1" x14ac:dyDescent="0.2">
      <c r="A10" s="2" t="s">
        <v>108</v>
      </c>
      <c r="B10" s="16">
        <v>2</v>
      </c>
      <c r="C10" s="17">
        <v>2.5</v>
      </c>
      <c r="D10" s="16">
        <v>3.5</v>
      </c>
      <c r="E10" s="2" t="s">
        <v>109</v>
      </c>
    </row>
    <row r="13" spans="1:5" ht="32" customHeight="1" x14ac:dyDescent="0.2">
      <c r="A13" s="18" t="s">
        <v>110</v>
      </c>
      <c r="B13" s="18"/>
      <c r="C13" s="18"/>
      <c r="D13" s="18"/>
      <c r="E13" s="18"/>
    </row>
    <row r="14" spans="1:5" x14ac:dyDescent="0.2">
      <c r="A14" s="1"/>
      <c r="B14" s="1"/>
      <c r="C14" s="1"/>
      <c r="D14" s="1"/>
      <c r="E14" s="1"/>
    </row>
    <row r="15" spans="1:5" ht="28" customHeight="1" x14ac:dyDescent="0.2">
      <c r="A15" s="22" t="s">
        <v>111</v>
      </c>
      <c r="B15" s="22"/>
      <c r="C15" s="22"/>
      <c r="D15" s="22"/>
      <c r="E15" s="22"/>
    </row>
    <row r="16" spans="1:5" ht="28" customHeight="1" x14ac:dyDescent="0.2">
      <c r="A16" s="23" t="s">
        <v>112</v>
      </c>
      <c r="B16" s="23"/>
      <c r="C16" s="23"/>
      <c r="D16" s="23"/>
      <c r="E16" s="23"/>
    </row>
    <row r="17" spans="1:5" ht="28" customHeight="1" x14ac:dyDescent="0.2">
      <c r="A17" s="22" t="s">
        <v>113</v>
      </c>
      <c r="B17" s="22"/>
      <c r="C17" s="22"/>
      <c r="D17" s="22"/>
      <c r="E17" s="22"/>
    </row>
    <row r="18" spans="1:5" ht="28" customHeight="1" x14ac:dyDescent="0.2">
      <c r="A18" s="23" t="s">
        <v>114</v>
      </c>
      <c r="B18" s="23"/>
      <c r="C18" s="23"/>
      <c r="D18" s="23"/>
      <c r="E18" s="23"/>
    </row>
    <row r="19" spans="1:5" ht="28" customHeight="1" x14ac:dyDescent="0.2">
      <c r="A19" s="22" t="s">
        <v>115</v>
      </c>
      <c r="B19" s="22"/>
      <c r="C19" s="22"/>
      <c r="D19" s="22"/>
      <c r="E19" s="22"/>
    </row>
    <row r="20" spans="1:5" ht="28" customHeight="1" x14ac:dyDescent="0.2">
      <c r="A20" s="23" t="s">
        <v>116</v>
      </c>
      <c r="B20" s="23"/>
      <c r="C20" s="23"/>
      <c r="D20" s="23"/>
      <c r="E20" s="23"/>
    </row>
    <row r="21" spans="1:5" ht="28" customHeight="1" x14ac:dyDescent="0.2">
      <c r="A21" s="22" t="s">
        <v>117</v>
      </c>
      <c r="B21" s="22"/>
      <c r="C21" s="22"/>
      <c r="D21" s="22"/>
      <c r="E21" s="22"/>
    </row>
  </sheetData>
  <mergeCells count="9">
    <mergeCell ref="A18:E18"/>
    <mergeCell ref="A19:E19"/>
    <mergeCell ref="A20:E20"/>
    <mergeCell ref="A21:E21"/>
    <mergeCell ref="A1:E1"/>
    <mergeCell ref="A13:E13"/>
    <mergeCell ref="A15:E15"/>
    <mergeCell ref="A16:E16"/>
    <mergeCell ref="A17:E1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Custo de Produção</vt:lpstr>
      <vt:lpstr>Formação de Preço</vt:lpstr>
      <vt:lpstr>Simulador de Faturamento</vt:lpstr>
      <vt:lpstr>Comparativo</vt:lpstr>
      <vt:lpstr>Referências de Markup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2026-02-23T01:21:02Z</dcterms:created>
  <dcterms:modified xsi:type="dcterms:W3CDTF">2026-02-23T01:23:54Z</dcterms:modified>
  <cp:category/>
</cp:coreProperties>
</file>